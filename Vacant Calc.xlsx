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evolvehousing-my.sharepoint.com/personal/abdelkarim_amro_evolvehousing_com_au/Documents/"/>
    </mc:Choice>
  </mc:AlternateContent>
  <xr:revisionPtr revIDLastSave="0" documentId="8_{666855E6-A9A9-4C79-9934-96F3FD9023B3}" xr6:coauthVersionLast="47" xr6:coauthVersionMax="47" xr10:uidLastSave="{00000000-0000-0000-0000-000000000000}"/>
  <bookViews>
    <workbookView xWindow="-57720" yWindow="1680" windowWidth="29040" windowHeight="15720" xr2:uid="{04D9B1CD-45ED-4BD2-A8E0-52A4CB3DDE21}"/>
  </bookViews>
  <sheets>
    <sheet name="Sheet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" i="1" l="1"/>
  <c r="N8" i="1"/>
  <c r="D18" i="1" s="1"/>
  <c r="O8" i="1"/>
  <c r="P8" i="1" s="1"/>
  <c r="P14" i="1" s="1"/>
  <c r="U8" i="1" s="1"/>
  <c r="R8" i="1"/>
  <c r="S8" i="1"/>
  <c r="Z8" i="1"/>
  <c r="AA8" i="1"/>
  <c r="P11" i="1"/>
  <c r="T8" i="1" s="1"/>
  <c r="E18" i="1"/>
  <c r="F18" i="1" s="1"/>
  <c r="P15" i="1" l="1"/>
  <c r="V8" i="1" s="1"/>
</calcChain>
</file>

<file path=xl/sharedStrings.xml><?xml version="1.0" encoding="utf-8"?>
<sst xmlns="http://schemas.openxmlformats.org/spreadsheetml/2006/main" count="32" uniqueCount="30">
  <si>
    <t>If property is new we should start vacancy from the property start date</t>
  </si>
  <si>
    <t>Keys</t>
  </si>
  <si>
    <t xml:space="preserve">End Date </t>
  </si>
  <si>
    <t>Start Date</t>
  </si>
  <si>
    <t>Untenantable</t>
  </si>
  <si>
    <t>Tenantable</t>
  </si>
  <si>
    <t>Void @ Prop223344</t>
  </si>
  <si>
    <t>Tenancy1 Adam@Prop223344</t>
  </si>
  <si>
    <t>Vacancy for prop 223344</t>
  </si>
  <si>
    <t>Tenancy1 Amro@Prop223344</t>
  </si>
  <si>
    <t>VOID ID</t>
  </si>
  <si>
    <t>KeysID</t>
  </si>
  <si>
    <t>Tenancy_Start_ID</t>
  </si>
  <si>
    <t>Tenancy_End_ID</t>
  </si>
  <si>
    <t>Prop Addrees</t>
  </si>
  <si>
    <t>PropID</t>
  </si>
  <si>
    <t>Exemption</t>
  </si>
  <si>
    <t>Untenantable Days</t>
  </si>
  <si>
    <t>Tenantable days</t>
  </si>
  <si>
    <t>Void days</t>
  </si>
  <si>
    <t>Void End Date</t>
  </si>
  <si>
    <t>void Start Date</t>
  </si>
  <si>
    <t>Vacancy Reason</t>
  </si>
  <si>
    <t>Vac days</t>
  </si>
  <si>
    <t>End</t>
  </si>
  <si>
    <t>Start</t>
  </si>
  <si>
    <t>ID</t>
  </si>
  <si>
    <t>Create Vacancy</t>
  </si>
  <si>
    <t>Report To Date</t>
  </si>
  <si>
    <t>Report From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</si>
</sst>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EBB3D-24AD-4143-B9F4-E2E5C068A6E5}">
  <dimension ref="B2:AC26"/>
  <sheetViews>
    <sheetView tabSelected="1" workbookViewId="0">
      <selection activeCell="C2" sqref="C2"/>
    </sheetView>
  </sheetViews>
  <sheetFormatPr defaultRowHeight="14.5" x14ac:dyDescent="0.35"/>
  <cols>
    <col min="3" max="3" width="29.26953125" bestFit="1" customWidth="1"/>
    <col min="4" max="5" width="10.453125" bestFit="1" customWidth="1"/>
    <col min="9" max="9" width="9.453125" bestFit="1" customWidth="1"/>
    <col min="12" max="12" width="16" customWidth="1"/>
    <col min="13" max="13" width="22.81640625" customWidth="1"/>
    <col min="14" max="14" width="14.1796875" customWidth="1"/>
    <col min="15" max="15" width="12.54296875" customWidth="1"/>
    <col min="17" max="17" width="14.453125" bestFit="1" customWidth="1"/>
    <col min="18" max="18" width="17.453125" customWidth="1"/>
    <col min="19" max="19" width="13.453125" customWidth="1"/>
    <col min="22" max="22" width="14.90625" customWidth="1"/>
    <col min="26" max="26" width="14.81640625" bestFit="1" customWidth="1"/>
    <col min="27" max="27" width="22.08984375" customWidth="1"/>
  </cols>
  <sheetData>
    <row r="2" spans="2:29" x14ac:dyDescent="0.35">
      <c r="G2" t="s">
        <v>29</v>
      </c>
      <c r="I2" s="1">
        <v>46023</v>
      </c>
      <c r="L2" t="s">
        <v>28</v>
      </c>
      <c r="M2" s="1">
        <v>46112</v>
      </c>
      <c r="P2">
        <f>M2-I2</f>
        <v>89</v>
      </c>
    </row>
    <row r="5" spans="2:29" x14ac:dyDescent="0.35">
      <c r="M5" t="s">
        <v>27</v>
      </c>
    </row>
    <row r="7" spans="2:29" x14ac:dyDescent="0.35">
      <c r="B7" t="s">
        <v>26</v>
      </c>
      <c r="D7" t="s">
        <v>25</v>
      </c>
      <c r="E7" t="s">
        <v>24</v>
      </c>
      <c r="N7" t="s">
        <v>3</v>
      </c>
      <c r="O7" t="s">
        <v>2</v>
      </c>
      <c r="P7" t="s">
        <v>23</v>
      </c>
      <c r="Q7" t="s">
        <v>22</v>
      </c>
      <c r="R7" t="s">
        <v>21</v>
      </c>
      <c r="S7" t="s">
        <v>20</v>
      </c>
      <c r="T7" t="s">
        <v>19</v>
      </c>
      <c r="U7" t="s">
        <v>18</v>
      </c>
      <c r="V7" t="s">
        <v>17</v>
      </c>
      <c r="W7" t="s">
        <v>16</v>
      </c>
      <c r="X7" t="s">
        <v>15</v>
      </c>
      <c r="Y7" t="s">
        <v>14</v>
      </c>
      <c r="Z7" s="2" t="s">
        <v>13</v>
      </c>
      <c r="AA7" t="s">
        <v>12</v>
      </c>
      <c r="AB7" t="s">
        <v>11</v>
      </c>
      <c r="AC7" t="s">
        <v>10</v>
      </c>
    </row>
    <row r="8" spans="2:29" x14ac:dyDescent="0.35">
      <c r="B8">
        <v>5678</v>
      </c>
      <c r="C8" t="s">
        <v>9</v>
      </c>
      <c r="D8" s="1">
        <v>45323</v>
      </c>
      <c r="E8" s="1">
        <v>46023</v>
      </c>
      <c r="M8" t="s">
        <v>8</v>
      </c>
      <c r="N8" s="1">
        <f>E8+1</f>
        <v>46024</v>
      </c>
      <c r="O8" s="1">
        <f>D9-1</f>
        <v>46116</v>
      </c>
      <c r="P8">
        <f>MIN(O8,M2)-N8</f>
        <v>88</v>
      </c>
      <c r="R8" s="1">
        <f>N11</f>
        <v>46044</v>
      </c>
      <c r="S8" s="1">
        <f>O11</f>
        <v>46052</v>
      </c>
      <c r="T8">
        <f>P11</f>
        <v>8</v>
      </c>
      <c r="U8">
        <f>P14</f>
        <v>80</v>
      </c>
      <c r="V8">
        <f>P15</f>
        <v>8</v>
      </c>
      <c r="Z8">
        <f>B8</f>
        <v>5678</v>
      </c>
      <c r="AA8" s="1">
        <f>D9</f>
        <v>46117</v>
      </c>
    </row>
    <row r="9" spans="2:29" x14ac:dyDescent="0.35">
      <c r="B9">
        <v>56791</v>
      </c>
      <c r="C9" t="s">
        <v>7</v>
      </c>
      <c r="D9" s="1">
        <v>46117</v>
      </c>
      <c r="E9" s="1"/>
    </row>
    <row r="11" spans="2:29" x14ac:dyDescent="0.35">
      <c r="M11" t="s">
        <v>6</v>
      </c>
      <c r="N11" s="1">
        <v>46044</v>
      </c>
      <c r="O11" s="1">
        <v>46052</v>
      </c>
      <c r="P11">
        <f>O11-N11</f>
        <v>8</v>
      </c>
    </row>
    <row r="14" spans="2:29" x14ac:dyDescent="0.35">
      <c r="N14" t="s">
        <v>5</v>
      </c>
      <c r="P14">
        <f>P8-P11</f>
        <v>80</v>
      </c>
    </row>
    <row r="15" spans="2:29" x14ac:dyDescent="0.35">
      <c r="N15" t="s">
        <v>4</v>
      </c>
      <c r="P15">
        <f>P11</f>
        <v>8</v>
      </c>
    </row>
    <row r="17" spans="3:6" x14ac:dyDescent="0.35">
      <c r="D17" t="s">
        <v>3</v>
      </c>
      <c r="E17" t="s">
        <v>2</v>
      </c>
    </row>
    <row r="18" spans="3:6" x14ac:dyDescent="0.35">
      <c r="C18" t="s">
        <v>1</v>
      </c>
      <c r="D18" s="1">
        <f>N8</f>
        <v>46024</v>
      </c>
      <c r="E18" s="1">
        <f>O8</f>
        <v>46116</v>
      </c>
      <c r="F18">
        <f>E18-D18</f>
        <v>92</v>
      </c>
    </row>
    <row r="26" spans="3:6" x14ac:dyDescent="0.35">
      <c r="C26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Abdelkarim Amro</dc:creator>
  <cp:lastModifiedBy>Abdelkarim Amro</cp:lastModifiedBy>
  <dcterms:created xsi:type="dcterms:W3CDTF">2026-03-30T04:15:47Z</dcterms:created>
  <dcterms:modified xsi:type="dcterms:W3CDTF">2026-03-30T04:16:28Z</dcterms:modified>
</cp:coreProperties>
</file>